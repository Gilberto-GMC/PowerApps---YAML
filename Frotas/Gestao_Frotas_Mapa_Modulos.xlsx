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60-00378\Downloads\"/>
    </mc:Choice>
  </mc:AlternateContent>
  <xr:revisionPtr revIDLastSave="0" documentId="11_F52164A63C20BBB49E21F23738F5694D185807A1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Modulos" sheetId="1" r:id="rId1"/>
    <sheet name="Sequencia sugerida" sheetId="2" r:id="rId2"/>
  </sheets>
  <definedNames>
    <definedName name="_xlnm._FilterDatabase" localSheetId="0" hidden="1">Modulos!$A$2:$M$25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0" i="1" l="1"/>
  <c r="H29" i="1"/>
  <c r="H28" i="1"/>
  <c r="H26" i="1"/>
</calcChain>
</file>

<file path=xl/sharedStrings.xml><?xml version="1.0" encoding="utf-8"?>
<sst xmlns="http://schemas.openxmlformats.org/spreadsheetml/2006/main" count="304" uniqueCount="150">
  <si>
    <t>GESTÃO DE FROTAS - Mapa de Módulos para Implantação (Power Platform) | Rede de 16 aeroportos</t>
  </si>
  <si>
    <t>Nº</t>
  </si>
  <si>
    <t>Tema / Módulo</t>
  </si>
  <si>
    <t>Categoria</t>
  </si>
  <si>
    <t>Escopo do módulo</t>
  </si>
  <si>
    <t>Referência / Origem</t>
  </si>
  <si>
    <t>Prioridade</t>
  </si>
  <si>
    <t>Complexidade</t>
  </si>
  <si>
    <t>H/H estimado</t>
  </si>
  <si>
    <t>Power Apps</t>
  </si>
  <si>
    <t>Power Automate</t>
  </si>
  <si>
    <t>SharePoint</t>
  </si>
  <si>
    <t>Power BI</t>
  </si>
  <si>
    <t>Observações e dependências</t>
  </si>
  <si>
    <t>Cadastro de Veículos (Ficha Cadastral)</t>
  </si>
  <si>
    <t>Frota corporativa</t>
  </si>
  <si>
    <t>Base mestre da frota: placa, RENAVAM, chassi, marca/modelo, ano, tipo (leve/pesado/utilitário/máquina/GSE), aeroporto de lotação, centro de custo, status (ativo, manutenção, baixado). Tabela-pai referenciada por todos os demais módulos.</t>
  </si>
  <si>
    <t>Padrão de mercado (TOTVS, Senior, FrotaControl)</t>
  </si>
  <si>
    <t>Crítica</t>
  </si>
  <si>
    <t>Média</t>
  </si>
  <si>
    <t>Sim</t>
  </si>
  <si>
    <t>Deve ser o PRIMEIRO módulo. Definir chave única (placa vs. patrimônio) antes de tudo.</t>
  </si>
  <si>
    <t>BDV - Boletim Diário de Veículo</t>
  </si>
  <si>
    <t>Registro diário de uso: condutor, KM inicial/final, destino, finalidade, ocorrências do turno. Base para consumo, produtividade e rastreabilidade de responsabilidade.</t>
  </si>
  <si>
    <t>Já mapeado internamente</t>
  </si>
  <si>
    <t>Tema já existente. Definir se é por turno, por viagem ou por dia.</t>
  </si>
  <si>
    <t>Vistoria de Veículos / Checklist</t>
  </si>
  <si>
    <t>Checklist de saída/retorno: pneus, freios, luzes, fluidos, itens de segurança, avarias. Captura de fotos como evidência e assinatura do condutor.</t>
  </si>
  <si>
    <t>Tema já existente. Reaproveitar arquitetura offline-first do app de inspeção de limpeza.</t>
  </si>
  <si>
    <t>Documentação e Licenciamento</t>
  </si>
  <si>
    <t>Controle de vencimentos de CRLV/licenciamento anual, IPVA, seguro obrigatório, apólice de seguro, laudos e certificados. Alertas automáticos antecipados de vencimento.</t>
  </si>
  <si>
    <t>Padrão de mercado (Frota162, FrotaControl, Frota Certa)</t>
  </si>
  <si>
    <t>Alta</t>
  </si>
  <si>
    <t>Baixa</t>
  </si>
  <si>
    <t>Alto ganho rápido: fluxo de alerta é simples e evita apreensão/multa administrativa.</t>
  </si>
  <si>
    <t>Gestão de Motoristas / Condutores</t>
  </si>
  <si>
    <t>Cadastro de condutores autorizados, CNH (categoria, validade, pontuação), vínculo condutor x veículo x unidade, exames médicos e toxicológicos periódicos.</t>
  </si>
  <si>
    <t>Padrão de mercado (RotaExata, Prodata, Frota Legal)</t>
  </si>
  <si>
    <t>Integrar com base de RH se possível, para evitar cadastro duplicado.</t>
  </si>
  <si>
    <t>Multas e Infrações de Trânsito</t>
  </si>
  <si>
    <t>Registro da autuação, indicação do condutor responsável, controle de prazo de defesa/recurso, status de pagamento, histórico e ranking por motorista.</t>
  </si>
  <si>
    <t>Padrão de mercado (Senior, RotaExata, FrotaControl)</t>
  </si>
  <si>
    <t>A indicação de condutor tem prazo legal curto - o fluxo de alerta é obrigatório.</t>
  </si>
  <si>
    <t>Manutenção Preventiva e Corretiva</t>
  </si>
  <si>
    <t>Plano de manutenção por KM/horímetro, abertura e acompanhamento de Ordens de Serviço, histórico de intervenções, peças trocadas, oficina responsável, tempo de veículo parado.</t>
  </si>
  <si>
    <t>Padrão de mercado (TOTVS, Prolog, Praxio)</t>
  </si>
  <si>
    <t>Módulo mais complexo do bloco corporativo. Requer estrutura de componentes/subcomponentes.</t>
  </si>
  <si>
    <t>Combustível e Abastecimento</t>
  </si>
  <si>
    <t>Litros, valor, posto (próprio ou credenciado), KM no abastecimento, cálculo de consumo médio (km/l), detecção de anomalias e desvios de posto autorizado.</t>
  </si>
  <si>
    <t>Padrão de mercado (Praxio, Do Telematics, ONPS)</t>
  </si>
  <si>
    <t>Combustível costuma ser a maior linha de custo. Verificar integração com cartão-frota.</t>
  </si>
  <si>
    <t>Rastreamento e Telemetria (GPS/IoT)</t>
  </si>
  <si>
    <t>Localização em tempo real, velocidade, tempo de motor ocioso, geocercas, eventos de direção agressiva. Consumo de dados via API do provedor.</t>
  </si>
  <si>
    <t>Padrão de mercado (Infleet, Do Telematics, ONPS)</t>
  </si>
  <si>
    <t>Parcial</t>
  </si>
  <si>
    <t>DEPENDE de contrato/API de rastreamento vigente. Não construir hardware - só integrar.</t>
  </si>
  <si>
    <t>Sinistros e Acidentes</t>
  </si>
  <si>
    <t>Registro da ocorrência, envolvidos, boletim de ocorrência, evidências fotográficas, acionamento de seguradora, custo do reparo e análise de causa raiz.</t>
  </si>
  <si>
    <t>Padrão de mercado (Frota Certa, Frota Legal)</t>
  </si>
  <si>
    <t>Conectar com o item 22 (ESO) quando o sinistro ocorrer no lado ar.</t>
  </si>
  <si>
    <t>Controle de Pneus</t>
  </si>
  <si>
    <t>Vida útil, rodízio, recapagem, sulco, custo por pneu e custo por km rodado. Rastreabilidade individual do pneu (número de fogo).</t>
  </si>
  <si>
    <t>Padrão de mercado (TOTVS, Prolog, FrotaControl)</t>
  </si>
  <si>
    <t>Pode entrar em fase 2. Só compensa com volume relevante de frota pesada.</t>
  </si>
  <si>
    <t>Reserva, Agendamento e Utilização</t>
  </si>
  <si>
    <t>Solicitação de uso, aprovação, check-out/check-in, KM inicial/final, destino e finalidade. Agenda de disponibilidade por veículo e por aeroporto.</t>
  </si>
  <si>
    <t>Padrão de mercado (Prodata, Frota Certa)</t>
  </si>
  <si>
    <t>Essencial em frota compartilhada entre 16 aeroportos. Integra diretamente com BDV.</t>
  </si>
  <si>
    <t>Custos e Centro de Custo (TCO)</t>
  </si>
  <si>
    <t>Consolidação de todos os gastos (combustível, manutenção, multas, seguro, depreciação, pneus) por veículo, por aeroporto e por período. Custo por km rodado.</t>
  </si>
  <si>
    <t>Padrão de mercado (TOTVS, Prodata, Do Telematics)</t>
  </si>
  <si>
    <t>Predominantemente Power BI. Depende de todos os módulos de lançamento estarem prontos.</t>
  </si>
  <si>
    <t>Fornecedores</t>
  </si>
  <si>
    <t>Cadastro e histórico de oficinas, seguradoras, postos credenciados, locadoras e fornecedores de peças. Avaliação de preço e prazo.</t>
  </si>
  <si>
    <t>Padrão de mercado (Prolog, Frota Certa, FrotaControl)</t>
  </si>
  <si>
    <t>Não</t>
  </si>
  <si>
    <t>Cadastro auxiliar simples. Verificar se já existe base corporativa de fornecedores.</t>
  </si>
  <si>
    <t>Ciclo de Vida do Ativo / Baixa e Alienação</t>
  </si>
  <si>
    <t>Data de aquisição, depreciação, ponto ideal de renovação (idade x custo de manutenção), processo de venda, baixa patrimonial ou devolução de locação.</t>
  </si>
  <si>
    <t>Fase final. Alinhar com Patrimônio/Contabilidade antes de modelar.</t>
  </si>
  <si>
    <t>Credenciamento de Veículos e Equipamentos (Área Restrita)</t>
  </si>
  <si>
    <t>Aeroportuário / Regulatório</t>
  </si>
  <si>
    <t>Solicitacao, aprovacao, emissao, validade, renovacao periodica, devolucao e bloqueio de autorizacao de trafego interno para veiculos e equipamentos em area restrita. Controle especifico de 2a via com justificativa.</t>
  </si>
  <si>
    <t>RBAC 107 (setor de credenciamento; renovacao periodica; controle de 2a via) e RBAC 153 (credenciamento de pessoas, veiculos e equipamentos)</t>
  </si>
  <si>
    <t>Obrigacao regulatoria. Envolve o setor de Seguranca Aeroportuaria, nao so Frotas.</t>
  </si>
  <si>
    <t>Habilitação para Condução na Área de Movimento</t>
  </si>
  <si>
    <t>Matriz de autorizacao: quem pode conduzir em patio, quem pode conduzir na area de manobras e quem esta autorizado em condicoes de baixa visibilidade. Controle de CNH por categoria e de validade de treinamento.</t>
  </si>
  <si>
    <t>RBAC 153 (CNH valida para a categoria do servico executado; treinamentos estruturados no PISOA; autorizacao especifica para area de manobras em baixa visibilidade)</t>
  </si>
  <si>
    <t>Diferente do modulo 5. Aqui a autorizacao e por AREA, nao so por veiculo.</t>
  </si>
  <si>
    <t>Conformidade Física e Sinalização no Lado Ar</t>
  </si>
  <si>
    <t>Checklist de conformidade do veiculo para circular no lado ar: farolete rotativo, faixas refletivas, radio, bandeirola e demais itens de sinalizacao. Bloqueio de veiculo nao conforme.</t>
  </si>
  <si>
    <t>RBAC 153 (retirada de veiculos e equipamentos sem as condicoes fisicas e operacionais requeridas ou fora da ABNT NBR 8919 - sinalizacao de equipamento de apoio no solo)</t>
  </si>
  <si>
    <t>Checklist SEPARADO do item 3 (vistoria mecanica). Confirmar itens com Seguranca Operacional.</t>
  </si>
  <si>
    <t>PESO - Procedimentos Específicos de Segurança Operacional</t>
  </si>
  <si>
    <t>Vinculo entre veiculo/equipamento, atividade executada e PESO aprovado, com controle de vigencia e de escopo autorizado.</t>
  </si>
  <si>
    <t>RBAC 153 (PESO significa Procedimentos Especificos de Seguranca Operacional; sao permitidos apenas equipamentos e atividades que contenham PESO)</t>
  </si>
  <si>
    <t>Validar com Seguranca Operacional como o PESO e controlado hoje antes de modelar.</t>
  </si>
  <si>
    <t>GSE - Equipamentos de Apoio ao Solo</t>
  </si>
  <si>
    <t>Inventario e manutencao de rebocador, GPU, escada, belt loader, ambulift, varredeira, trator de bagagem e plataforma. Muitos sem placa/RENAVAM: exigem identificacao patrimonial propria e plano de manutencao por HORIMETRO.</t>
  </si>
  <si>
    <t>RBAC 153 / ABNT NBR 8919 (equipamento de apoio no solo)</t>
  </si>
  <si>
    <t>Impacta o modelo de dados do item 1: a chave nao pode ser 'placa'. Decidir cedo.</t>
  </si>
  <si>
    <t>Veículos do SESCINC (CCI)</t>
  </si>
  <si>
    <t>Controle de disponibilidade operacional de CCI e demais veiculos do SESCINC, testes de desempenho, reserva tecnica de agua e estoque de agentes extintores.</t>
  </si>
  <si>
    <t>RBAC 153 (CCI e o veiculo projetado para missoes de resgate e salvamento; 'CCI em Linha' e o apto a responder ao acionamento do SESCINC; a SCI abriga CCI, veiculos, agua e agentes extintores)</t>
  </si>
  <si>
    <t>Categoria a parte, com regulacao propria. Verificar se o SESCINC ja possui sistema.</t>
  </si>
  <si>
    <t>ESO com Envolvimento de Veículos (Incursão, Colisão, FOD)</t>
  </si>
  <si>
    <t>Registro e tratativa de eventos de seguranca operacional envolvendo veiculos: incursao em pista, colisao com aeronave ou equipamento, geracao de FOD, excesso de velocidade no patio e ocorrencias em hot spots.</t>
  </si>
  <si>
    <t>RBAC 153 (ESO abrange acidentes, incidentes graves, ocorrencias de solo e ocorrencias anormais; hot spot e o local com risco de colisao ou incursao em pista)</t>
  </si>
  <si>
    <t>CONVERSA DIRETO com o modulo de Ocorrencias do Airport Now - avaliar reuso em vez de duplicar.</t>
  </si>
  <si>
    <t>Frota de Terceiros no Sítio Aeroportuário</t>
  </si>
  <si>
    <t>Inventario e conformidade de veiculos de handling, concessionarios, obras e orgaos publicos que circulam no sitio. A empresa nao e proprietaria, mas responde pelo controle de acesso e conformidade.</t>
  </si>
  <si>
    <t>RBAC 107 (padroes de seguranca para veiculos de organizacoes publicas definidos pela ANAC em coordenacao com os orgaos atuantes no aerodromo)</t>
  </si>
  <si>
    <t>Espelha os modulos 16, 17 e 18 para frota nao-propria. Definir escopo com Compliance.</t>
  </si>
  <si>
    <t>TOTAL ESTIMADO (H/H)</t>
  </si>
  <si>
    <t>Subtotal - Frota corporativa (H/H)</t>
  </si>
  <si>
    <t>Subtotal - Aeroportuário / Regulatório (H/H)</t>
  </si>
  <si>
    <t>Qtde de módulos críticos</t>
  </si>
  <si>
    <t>LEGENDA E PREMISSAS</t>
  </si>
  <si>
    <t>• Células em AZUL (coluna H) são editáveis - ajuste os H/H conforme a realidade da equipe. As demais colunas são descritivas.</t>
  </si>
  <si>
    <t>• Linhas com fundo AZUL CLARO = módulos padrão de mercado de gestão de frotas. Linhas com fundo AMARELO = módulos específicos do ambiente aeroportuário/regulatório.</t>
  </si>
  <si>
    <t>• Os valores de H/H são PRELIMINARES, estimados por analogia de complexidade e ainda NÃO validados com o setor de Frotas. Devem ser revisados em sessão de refinamento antes de virar compromisso de prazo.</t>
  </si>
  <si>
    <t>• Prioridade e Complexidade são sugestões iniciais e devem ser repactuadas com o gestor do setor de Frotas e com Segurança Operacional/AVSEC.</t>
  </si>
  <si>
    <t>FONTES CONSULTADAS</t>
  </si>
  <si>
    <t>Módulos corporativos (1-15): funcionalidades declaradas como padrão por TOTVS Gestão de Frotas, Senior, Praxio, Prolog, FrotaControl, Frota Certa, Frota162, RotaExata, Infleet e Prodata.</t>
  </si>
  <si>
    <t>Módulos aeroportuários (16-23): RBAC nº 107 (Segurança da Aviação Civil contra Atos de Interferência Ilícita) e RBAC nº 153 (Aeródromos - Operação, Manutenção e Resposta à Emergência), ANAC; ABNT NBR 8919 (sinalização de equipamento de apoio no solo).</t>
  </si>
  <si>
    <t>Observação: as referências regulatórias indicam ONDE a exigência se origina; a redação exata e a emenda vigente devem ser conferidas na íntegra do RBAC junto à área de Segurança Operacional antes da especificação funcional.</t>
  </si>
  <si>
    <t>Sequência sugerida de implantação (proposta para discussão)</t>
  </si>
  <si>
    <t>Onda</t>
  </si>
  <si>
    <t>Módulos (nº)</t>
  </si>
  <si>
    <t>Por que nesta ordem</t>
  </si>
  <si>
    <t>H/H da onda</t>
  </si>
  <si>
    <t>Onda 1 - Fundação</t>
  </si>
  <si>
    <t>1, 2, 3, 4</t>
  </si>
  <si>
    <t>Sem o cadastro mestre (1) nada mais se conecta. BDV e Vistoria já estão mapeados e Documentação entrega alerta de vencimento com baixo esforço - resultado visível cedo.</t>
  </si>
  <si>
    <t>Onda 2 - Conformidade aeroportuária</t>
  </si>
  <si>
    <t>16, 17, 18</t>
  </si>
  <si>
    <t>Bloco de obrigação regulatória. Credenciamento, habilitação por área e conformidade de sinalização no lado ar são o que expõe a empresa em auditoria da ANAC.</t>
  </si>
  <si>
    <t>Onda 3 - Operação e custo</t>
  </si>
  <si>
    <t>5, 6, 7, 8, 12</t>
  </si>
  <si>
    <t>Motoristas, multas, manutenção, combustível e reserva formam o núcleo de custo recorrente e de uso diário do setor.</t>
  </si>
  <si>
    <t>Onda 4 - Ativos especiais</t>
  </si>
  <si>
    <t>19, 20, 21</t>
  </si>
  <si>
    <t>PESO, GSE e SESCINC exigem modelagem própria (horímetro, identificação sem placa) e envolvimento de outras áreas.</t>
  </si>
  <si>
    <t>Onda 5 - Risco e inteligência</t>
  </si>
  <si>
    <t>10, 22, 13</t>
  </si>
  <si>
    <t>Sinistros e ESO fecham o ciclo de risco; o painel de TCO só faz sentido depois que os módulos de lançamento estiverem alimentando dados reais.</t>
  </si>
  <si>
    <t>Onda 6 - Complementos</t>
  </si>
  <si>
    <t>9, 11, 14, 15, 23</t>
  </si>
  <si>
    <t>Telemetria (depende de contrato externo), pneus, fornecedores, ciclo de vida do ativo e frota de terceiros. Alto valor, porém não bloqueiam a operação inicial.</t>
  </si>
  <si>
    <t>Preencha a coluna 'H/H da onda' (amarelo) somando os módulos correspondentes na aba Modulos após validar as estimativas.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</si>
</sst>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b/>
      <sz val="11"/>
      <name val="Arial"/>
      <charset val="1"/>
    </font>
    <font>
      <b/>
      <sz val="10"/>
      <color rgb="FF1F3864"/>
      <name val="Arial"/>
      <charset val="1"/>
    </font>
    <font>
      <i/>
      <sz val="9"/>
      <color rgb="FF595959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C8A"/>
        <bgColor rgb="FF595959"/>
      </patternFill>
    </fill>
    <fill>
      <patternFill patternType="solid">
        <fgColor rgb="FFE8F0F8"/>
        <bgColor rgb="FFFFFFFF"/>
      </patternFill>
    </fill>
    <fill>
      <patternFill patternType="solid">
        <fgColor rgb="FFFFF2CC"/>
        <bgColor rgb="FFE8F0F8"/>
      </patternFill>
    </fill>
    <fill>
      <patternFill patternType="solid">
        <fgColor rgb="FFD9D9D9"/>
        <bgColor rgb="FFE8F0F8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4" fillId="6" borderId="1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1" fontId="5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1" fontId="5" fillId="5" borderId="1" xfId="0" applyNumberFormat="1" applyFont="1" applyFill="1" applyBorder="1" applyAlignment="1">
      <alignment horizontal="center" vertical="center" wrapText="1"/>
    </xf>
    <xf numFmtId="1" fontId="6" fillId="6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/>
    <xf numFmtId="0" fontId="4" fillId="0" borderId="0" xfId="0" applyFont="1"/>
    <xf numFmtId="1" fontId="4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F0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2E5C8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6640625" defaultRowHeight="14.4" x14ac:dyDescent="0.3"/>
  <cols>
    <col min="1" max="1" width="5" customWidth="1"/>
    <col min="2" max="2" width="34" customWidth="1"/>
    <col min="3" max="3" width="20" customWidth="1"/>
    <col min="4" max="4" width="62" customWidth="1"/>
    <col min="5" max="5" width="46" customWidth="1"/>
    <col min="6" max="6" width="12" customWidth="1"/>
    <col min="7" max="7" width="13" customWidth="1"/>
    <col min="8" max="9" width="12" customWidth="1"/>
    <col min="10" max="10" width="14" customWidth="1"/>
    <col min="11" max="11" width="12" customWidth="1"/>
    <col min="12" max="12" width="11" customWidth="1"/>
    <col min="13" max="13" width="52" customWidth="1"/>
  </cols>
  <sheetData>
    <row r="1" spans="1:13" ht="25.5" customHeight="1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31.5" customHeight="1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 spans="1:13" ht="60" customHeight="1" x14ac:dyDescent="0.3">
      <c r="A3" s="5">
        <v>1</v>
      </c>
      <c r="B3" s="6" t="s">
        <v>14</v>
      </c>
      <c r="C3" s="7" t="s">
        <v>15</v>
      </c>
      <c r="D3" s="7" t="s">
        <v>16</v>
      </c>
      <c r="E3" s="7" t="s">
        <v>17</v>
      </c>
      <c r="F3" s="5" t="s">
        <v>18</v>
      </c>
      <c r="G3" s="5" t="s">
        <v>19</v>
      </c>
      <c r="H3" s="8">
        <v>24</v>
      </c>
      <c r="I3" s="5" t="s">
        <v>20</v>
      </c>
      <c r="J3" s="5" t="s">
        <v>20</v>
      </c>
      <c r="K3" s="5" t="s">
        <v>20</v>
      </c>
      <c r="L3" s="5" t="s">
        <v>20</v>
      </c>
      <c r="M3" s="7" t="s">
        <v>21</v>
      </c>
    </row>
    <row r="4" spans="1:13" ht="60" customHeight="1" x14ac:dyDescent="0.3">
      <c r="A4" s="5">
        <v>2</v>
      </c>
      <c r="B4" s="6" t="s">
        <v>22</v>
      </c>
      <c r="C4" s="7" t="s">
        <v>15</v>
      </c>
      <c r="D4" s="7" t="s">
        <v>23</v>
      </c>
      <c r="E4" s="7" t="s">
        <v>24</v>
      </c>
      <c r="F4" s="5" t="s">
        <v>18</v>
      </c>
      <c r="G4" s="5" t="s">
        <v>19</v>
      </c>
      <c r="H4" s="8">
        <v>20</v>
      </c>
      <c r="I4" s="5" t="s">
        <v>20</v>
      </c>
      <c r="J4" s="5" t="s">
        <v>20</v>
      </c>
      <c r="K4" s="5" t="s">
        <v>20</v>
      </c>
      <c r="L4" s="5" t="s">
        <v>20</v>
      </c>
      <c r="M4" s="7" t="s">
        <v>25</v>
      </c>
    </row>
    <row r="5" spans="1:13" ht="60" customHeight="1" x14ac:dyDescent="0.3">
      <c r="A5" s="5">
        <v>3</v>
      </c>
      <c r="B5" s="6" t="s">
        <v>26</v>
      </c>
      <c r="C5" s="7" t="s">
        <v>15</v>
      </c>
      <c r="D5" s="7" t="s">
        <v>27</v>
      </c>
      <c r="E5" s="7" t="s">
        <v>24</v>
      </c>
      <c r="F5" s="5" t="s">
        <v>18</v>
      </c>
      <c r="G5" s="5" t="s">
        <v>19</v>
      </c>
      <c r="H5" s="8">
        <v>24</v>
      </c>
      <c r="I5" s="5" t="s">
        <v>20</v>
      </c>
      <c r="J5" s="5" t="s">
        <v>20</v>
      </c>
      <c r="K5" s="5" t="s">
        <v>20</v>
      </c>
      <c r="L5" s="5" t="s">
        <v>20</v>
      </c>
      <c r="M5" s="7" t="s">
        <v>28</v>
      </c>
    </row>
    <row r="6" spans="1:13" ht="60" customHeight="1" x14ac:dyDescent="0.3">
      <c r="A6" s="5">
        <v>4</v>
      </c>
      <c r="B6" s="6" t="s">
        <v>29</v>
      </c>
      <c r="C6" s="7" t="s">
        <v>15</v>
      </c>
      <c r="D6" s="7" t="s">
        <v>30</v>
      </c>
      <c r="E6" s="7" t="s">
        <v>31</v>
      </c>
      <c r="F6" s="5" t="s">
        <v>32</v>
      </c>
      <c r="G6" s="5" t="s">
        <v>33</v>
      </c>
      <c r="H6" s="8">
        <v>16</v>
      </c>
      <c r="I6" s="5" t="s">
        <v>20</v>
      </c>
      <c r="J6" s="5" t="s">
        <v>20</v>
      </c>
      <c r="K6" s="5" t="s">
        <v>20</v>
      </c>
      <c r="L6" s="5" t="s">
        <v>20</v>
      </c>
      <c r="M6" s="7" t="s">
        <v>34</v>
      </c>
    </row>
    <row r="7" spans="1:13" ht="60" customHeight="1" x14ac:dyDescent="0.3">
      <c r="A7" s="5">
        <v>5</v>
      </c>
      <c r="B7" s="6" t="s">
        <v>35</v>
      </c>
      <c r="C7" s="7" t="s">
        <v>15</v>
      </c>
      <c r="D7" s="7" t="s">
        <v>36</v>
      </c>
      <c r="E7" s="7" t="s">
        <v>37</v>
      </c>
      <c r="F7" s="5" t="s">
        <v>32</v>
      </c>
      <c r="G7" s="5" t="s">
        <v>19</v>
      </c>
      <c r="H7" s="8">
        <v>24</v>
      </c>
      <c r="I7" s="5" t="s">
        <v>20</v>
      </c>
      <c r="J7" s="5" t="s">
        <v>20</v>
      </c>
      <c r="K7" s="5" t="s">
        <v>20</v>
      </c>
      <c r="L7" s="5" t="s">
        <v>20</v>
      </c>
      <c r="M7" s="7" t="s">
        <v>38</v>
      </c>
    </row>
    <row r="8" spans="1:13" ht="60" customHeight="1" x14ac:dyDescent="0.3">
      <c r="A8" s="5">
        <v>6</v>
      </c>
      <c r="B8" s="6" t="s">
        <v>39</v>
      </c>
      <c r="C8" s="7" t="s">
        <v>15</v>
      </c>
      <c r="D8" s="7" t="s">
        <v>40</v>
      </c>
      <c r="E8" s="7" t="s">
        <v>41</v>
      </c>
      <c r="F8" s="5" t="s">
        <v>32</v>
      </c>
      <c r="G8" s="5" t="s">
        <v>19</v>
      </c>
      <c r="H8" s="8">
        <v>28</v>
      </c>
      <c r="I8" s="5" t="s">
        <v>20</v>
      </c>
      <c r="J8" s="5" t="s">
        <v>20</v>
      </c>
      <c r="K8" s="5" t="s">
        <v>20</v>
      </c>
      <c r="L8" s="5" t="s">
        <v>20</v>
      </c>
      <c r="M8" s="7" t="s">
        <v>42</v>
      </c>
    </row>
    <row r="9" spans="1:13" ht="60" customHeight="1" x14ac:dyDescent="0.3">
      <c r="A9" s="5">
        <v>7</v>
      </c>
      <c r="B9" s="6" t="s">
        <v>43</v>
      </c>
      <c r="C9" s="7" t="s">
        <v>15</v>
      </c>
      <c r="D9" s="7" t="s">
        <v>44</v>
      </c>
      <c r="E9" s="7" t="s">
        <v>45</v>
      </c>
      <c r="F9" s="5" t="s">
        <v>18</v>
      </c>
      <c r="G9" s="5" t="s">
        <v>32</v>
      </c>
      <c r="H9" s="8">
        <v>40</v>
      </c>
      <c r="I9" s="5" t="s">
        <v>20</v>
      </c>
      <c r="J9" s="5" t="s">
        <v>20</v>
      </c>
      <c r="K9" s="5" t="s">
        <v>20</v>
      </c>
      <c r="L9" s="5" t="s">
        <v>20</v>
      </c>
      <c r="M9" s="7" t="s">
        <v>46</v>
      </c>
    </row>
    <row r="10" spans="1:13" ht="60" customHeight="1" x14ac:dyDescent="0.3">
      <c r="A10" s="5">
        <v>8</v>
      </c>
      <c r="B10" s="6" t="s">
        <v>47</v>
      </c>
      <c r="C10" s="7" t="s">
        <v>15</v>
      </c>
      <c r="D10" s="7" t="s">
        <v>48</v>
      </c>
      <c r="E10" s="7" t="s">
        <v>49</v>
      </c>
      <c r="F10" s="5" t="s">
        <v>32</v>
      </c>
      <c r="G10" s="5" t="s">
        <v>19</v>
      </c>
      <c r="H10" s="8">
        <v>28</v>
      </c>
      <c r="I10" s="5" t="s">
        <v>20</v>
      </c>
      <c r="J10" s="5" t="s">
        <v>20</v>
      </c>
      <c r="K10" s="5" t="s">
        <v>20</v>
      </c>
      <c r="L10" s="5" t="s">
        <v>20</v>
      </c>
      <c r="M10" s="7" t="s">
        <v>50</v>
      </c>
    </row>
    <row r="11" spans="1:13" ht="60" customHeight="1" x14ac:dyDescent="0.3">
      <c r="A11" s="5">
        <v>9</v>
      </c>
      <c r="B11" s="6" t="s">
        <v>51</v>
      </c>
      <c r="C11" s="7" t="s">
        <v>15</v>
      </c>
      <c r="D11" s="7" t="s">
        <v>52</v>
      </c>
      <c r="E11" s="7" t="s">
        <v>53</v>
      </c>
      <c r="F11" s="5" t="s">
        <v>19</v>
      </c>
      <c r="G11" s="5" t="s">
        <v>32</v>
      </c>
      <c r="H11" s="8">
        <v>32</v>
      </c>
      <c r="I11" s="5" t="s">
        <v>54</v>
      </c>
      <c r="J11" s="5" t="s">
        <v>20</v>
      </c>
      <c r="K11" s="5" t="s">
        <v>20</v>
      </c>
      <c r="L11" s="5" t="s">
        <v>20</v>
      </c>
      <c r="M11" s="7" t="s">
        <v>55</v>
      </c>
    </row>
    <row r="12" spans="1:13" ht="60" customHeight="1" x14ac:dyDescent="0.3">
      <c r="A12" s="5">
        <v>10</v>
      </c>
      <c r="B12" s="6" t="s">
        <v>56</v>
      </c>
      <c r="C12" s="7" t="s">
        <v>15</v>
      </c>
      <c r="D12" s="7" t="s">
        <v>57</v>
      </c>
      <c r="E12" s="7" t="s">
        <v>58</v>
      </c>
      <c r="F12" s="5" t="s">
        <v>32</v>
      </c>
      <c r="G12" s="5" t="s">
        <v>19</v>
      </c>
      <c r="H12" s="8">
        <v>28</v>
      </c>
      <c r="I12" s="5" t="s">
        <v>20</v>
      </c>
      <c r="J12" s="5" t="s">
        <v>20</v>
      </c>
      <c r="K12" s="5" t="s">
        <v>20</v>
      </c>
      <c r="L12" s="5" t="s">
        <v>20</v>
      </c>
      <c r="M12" s="7" t="s">
        <v>59</v>
      </c>
    </row>
    <row r="13" spans="1:13" ht="60" customHeight="1" x14ac:dyDescent="0.3">
      <c r="A13" s="5">
        <v>11</v>
      </c>
      <c r="B13" s="6" t="s">
        <v>60</v>
      </c>
      <c r="C13" s="7" t="s">
        <v>15</v>
      </c>
      <c r="D13" s="7" t="s">
        <v>61</v>
      </c>
      <c r="E13" s="7" t="s">
        <v>62</v>
      </c>
      <c r="F13" s="5" t="s">
        <v>19</v>
      </c>
      <c r="G13" s="5" t="s">
        <v>19</v>
      </c>
      <c r="H13" s="8">
        <v>24</v>
      </c>
      <c r="I13" s="5" t="s">
        <v>20</v>
      </c>
      <c r="J13" s="5" t="s">
        <v>20</v>
      </c>
      <c r="K13" s="5" t="s">
        <v>20</v>
      </c>
      <c r="L13" s="5" t="s">
        <v>20</v>
      </c>
      <c r="M13" s="7" t="s">
        <v>63</v>
      </c>
    </row>
    <row r="14" spans="1:13" ht="60" customHeight="1" x14ac:dyDescent="0.3">
      <c r="A14" s="5">
        <v>12</v>
      </c>
      <c r="B14" s="6" t="s">
        <v>64</v>
      </c>
      <c r="C14" s="7" t="s">
        <v>15</v>
      </c>
      <c r="D14" s="7" t="s">
        <v>65</v>
      </c>
      <c r="E14" s="7" t="s">
        <v>66</v>
      </c>
      <c r="F14" s="5" t="s">
        <v>32</v>
      </c>
      <c r="G14" s="5" t="s">
        <v>19</v>
      </c>
      <c r="H14" s="8">
        <v>28</v>
      </c>
      <c r="I14" s="5" t="s">
        <v>20</v>
      </c>
      <c r="J14" s="5" t="s">
        <v>20</v>
      </c>
      <c r="K14" s="5" t="s">
        <v>20</v>
      </c>
      <c r="L14" s="5" t="s">
        <v>20</v>
      </c>
      <c r="M14" s="7" t="s">
        <v>67</v>
      </c>
    </row>
    <row r="15" spans="1:13" ht="60" customHeight="1" x14ac:dyDescent="0.3">
      <c r="A15" s="5">
        <v>13</v>
      </c>
      <c r="B15" s="6" t="s">
        <v>68</v>
      </c>
      <c r="C15" s="7" t="s">
        <v>15</v>
      </c>
      <c r="D15" s="7" t="s">
        <v>69</v>
      </c>
      <c r="E15" s="7" t="s">
        <v>70</v>
      </c>
      <c r="F15" s="5" t="s">
        <v>32</v>
      </c>
      <c r="G15" s="5" t="s">
        <v>19</v>
      </c>
      <c r="H15" s="8">
        <v>24</v>
      </c>
      <c r="I15" s="5" t="s">
        <v>54</v>
      </c>
      <c r="J15" s="5" t="s">
        <v>20</v>
      </c>
      <c r="K15" s="5" t="s">
        <v>20</v>
      </c>
      <c r="L15" s="5" t="s">
        <v>20</v>
      </c>
      <c r="M15" s="7" t="s">
        <v>71</v>
      </c>
    </row>
    <row r="16" spans="1:13" ht="60" customHeight="1" x14ac:dyDescent="0.3">
      <c r="A16" s="5">
        <v>14</v>
      </c>
      <c r="B16" s="6" t="s">
        <v>72</v>
      </c>
      <c r="C16" s="7" t="s">
        <v>15</v>
      </c>
      <c r="D16" s="7" t="s">
        <v>73</v>
      </c>
      <c r="E16" s="7" t="s">
        <v>74</v>
      </c>
      <c r="F16" s="5" t="s">
        <v>19</v>
      </c>
      <c r="G16" s="5" t="s">
        <v>33</v>
      </c>
      <c r="H16" s="8">
        <v>12</v>
      </c>
      <c r="I16" s="5" t="s">
        <v>20</v>
      </c>
      <c r="J16" s="5" t="s">
        <v>75</v>
      </c>
      <c r="K16" s="5" t="s">
        <v>20</v>
      </c>
      <c r="L16" s="5" t="s">
        <v>20</v>
      </c>
      <c r="M16" s="7" t="s">
        <v>76</v>
      </c>
    </row>
    <row r="17" spans="1:13" ht="60" customHeight="1" x14ac:dyDescent="0.3">
      <c r="A17" s="5">
        <v>15</v>
      </c>
      <c r="B17" s="6" t="s">
        <v>77</v>
      </c>
      <c r="C17" s="7" t="s">
        <v>15</v>
      </c>
      <c r="D17" s="7" t="s">
        <v>78</v>
      </c>
      <c r="E17" s="7" t="s">
        <v>66</v>
      </c>
      <c r="F17" s="5" t="s">
        <v>33</v>
      </c>
      <c r="G17" s="5" t="s">
        <v>19</v>
      </c>
      <c r="H17" s="8">
        <v>16</v>
      </c>
      <c r="I17" s="5" t="s">
        <v>20</v>
      </c>
      <c r="J17" s="5" t="s">
        <v>20</v>
      </c>
      <c r="K17" s="5" t="s">
        <v>20</v>
      </c>
      <c r="L17" s="5" t="s">
        <v>20</v>
      </c>
      <c r="M17" s="7" t="s">
        <v>79</v>
      </c>
    </row>
    <row r="18" spans="1:13" ht="60" customHeight="1" x14ac:dyDescent="0.3">
      <c r="A18" s="9">
        <v>16</v>
      </c>
      <c r="B18" s="10" t="s">
        <v>80</v>
      </c>
      <c r="C18" s="11" t="s">
        <v>81</v>
      </c>
      <c r="D18" s="11" t="s">
        <v>82</v>
      </c>
      <c r="E18" s="11" t="s">
        <v>83</v>
      </c>
      <c r="F18" s="9" t="s">
        <v>18</v>
      </c>
      <c r="G18" s="9" t="s">
        <v>32</v>
      </c>
      <c r="H18" s="12">
        <v>40</v>
      </c>
      <c r="I18" s="9" t="s">
        <v>20</v>
      </c>
      <c r="J18" s="9" t="s">
        <v>20</v>
      </c>
      <c r="K18" s="9" t="s">
        <v>20</v>
      </c>
      <c r="L18" s="9" t="s">
        <v>20</v>
      </c>
      <c r="M18" s="11" t="s">
        <v>84</v>
      </c>
    </row>
    <row r="19" spans="1:13" ht="60" customHeight="1" x14ac:dyDescent="0.3">
      <c r="A19" s="9">
        <v>17</v>
      </c>
      <c r="B19" s="10" t="s">
        <v>85</v>
      </c>
      <c r="C19" s="11" t="s">
        <v>81</v>
      </c>
      <c r="D19" s="11" t="s">
        <v>86</v>
      </c>
      <c r="E19" s="11" t="s">
        <v>87</v>
      </c>
      <c r="F19" s="9" t="s">
        <v>18</v>
      </c>
      <c r="G19" s="9" t="s">
        <v>19</v>
      </c>
      <c r="H19" s="12">
        <v>28</v>
      </c>
      <c r="I19" s="9" t="s">
        <v>20</v>
      </c>
      <c r="J19" s="9" t="s">
        <v>20</v>
      </c>
      <c r="K19" s="9" t="s">
        <v>20</v>
      </c>
      <c r="L19" s="9" t="s">
        <v>20</v>
      </c>
      <c r="M19" s="11" t="s">
        <v>88</v>
      </c>
    </row>
    <row r="20" spans="1:13" ht="60" customHeight="1" x14ac:dyDescent="0.3">
      <c r="A20" s="9">
        <v>18</v>
      </c>
      <c r="B20" s="10" t="s">
        <v>89</v>
      </c>
      <c r="C20" s="11" t="s">
        <v>81</v>
      </c>
      <c r="D20" s="11" t="s">
        <v>90</v>
      </c>
      <c r="E20" s="11" t="s">
        <v>91</v>
      </c>
      <c r="F20" s="9" t="s">
        <v>18</v>
      </c>
      <c r="G20" s="9" t="s">
        <v>19</v>
      </c>
      <c r="H20" s="12">
        <v>24</v>
      </c>
      <c r="I20" s="9" t="s">
        <v>20</v>
      </c>
      <c r="J20" s="9" t="s">
        <v>20</v>
      </c>
      <c r="K20" s="9" t="s">
        <v>20</v>
      </c>
      <c r="L20" s="9" t="s">
        <v>20</v>
      </c>
      <c r="M20" s="11" t="s">
        <v>92</v>
      </c>
    </row>
    <row r="21" spans="1:13" ht="60" customHeight="1" x14ac:dyDescent="0.3">
      <c r="A21" s="9">
        <v>19</v>
      </c>
      <c r="B21" s="10" t="s">
        <v>93</v>
      </c>
      <c r="C21" s="11" t="s">
        <v>81</v>
      </c>
      <c r="D21" s="11" t="s">
        <v>94</v>
      </c>
      <c r="E21" s="11" t="s">
        <v>95</v>
      </c>
      <c r="F21" s="9" t="s">
        <v>32</v>
      </c>
      <c r="G21" s="9" t="s">
        <v>19</v>
      </c>
      <c r="H21" s="12">
        <v>20</v>
      </c>
      <c r="I21" s="9" t="s">
        <v>20</v>
      </c>
      <c r="J21" s="9" t="s">
        <v>20</v>
      </c>
      <c r="K21" s="9" t="s">
        <v>20</v>
      </c>
      <c r="L21" s="9" t="s">
        <v>54</v>
      </c>
      <c r="M21" s="11" t="s">
        <v>96</v>
      </c>
    </row>
    <row r="22" spans="1:13" ht="60" customHeight="1" x14ac:dyDescent="0.3">
      <c r="A22" s="9">
        <v>20</v>
      </c>
      <c r="B22" s="10" t="s">
        <v>97</v>
      </c>
      <c r="C22" s="11" t="s">
        <v>81</v>
      </c>
      <c r="D22" s="11" t="s">
        <v>98</v>
      </c>
      <c r="E22" s="11" t="s">
        <v>99</v>
      </c>
      <c r="F22" s="9" t="s">
        <v>32</v>
      </c>
      <c r="G22" s="9" t="s">
        <v>32</v>
      </c>
      <c r="H22" s="12">
        <v>32</v>
      </c>
      <c r="I22" s="9" t="s">
        <v>20</v>
      </c>
      <c r="J22" s="9" t="s">
        <v>20</v>
      </c>
      <c r="K22" s="9" t="s">
        <v>20</v>
      </c>
      <c r="L22" s="9" t="s">
        <v>20</v>
      </c>
      <c r="M22" s="11" t="s">
        <v>100</v>
      </c>
    </row>
    <row r="23" spans="1:13" ht="60" customHeight="1" x14ac:dyDescent="0.3">
      <c r="A23" s="9">
        <v>21</v>
      </c>
      <c r="B23" s="10" t="s">
        <v>101</v>
      </c>
      <c r="C23" s="11" t="s">
        <v>81</v>
      </c>
      <c r="D23" s="11" t="s">
        <v>102</v>
      </c>
      <c r="E23" s="11" t="s">
        <v>103</v>
      </c>
      <c r="F23" s="9" t="s">
        <v>32</v>
      </c>
      <c r="G23" s="9" t="s">
        <v>32</v>
      </c>
      <c r="H23" s="12">
        <v>32</v>
      </c>
      <c r="I23" s="9" t="s">
        <v>20</v>
      </c>
      <c r="J23" s="9" t="s">
        <v>20</v>
      </c>
      <c r="K23" s="9" t="s">
        <v>20</v>
      </c>
      <c r="L23" s="9" t="s">
        <v>20</v>
      </c>
      <c r="M23" s="11" t="s">
        <v>104</v>
      </c>
    </row>
    <row r="24" spans="1:13" ht="60" customHeight="1" x14ac:dyDescent="0.3">
      <c r="A24" s="9">
        <v>22</v>
      </c>
      <c r="B24" s="10" t="s">
        <v>105</v>
      </c>
      <c r="C24" s="11" t="s">
        <v>81</v>
      </c>
      <c r="D24" s="11" t="s">
        <v>106</v>
      </c>
      <c r="E24" s="11" t="s">
        <v>107</v>
      </c>
      <c r="F24" s="9" t="s">
        <v>18</v>
      </c>
      <c r="G24" s="9" t="s">
        <v>32</v>
      </c>
      <c r="H24" s="12">
        <v>32</v>
      </c>
      <c r="I24" s="9" t="s">
        <v>20</v>
      </c>
      <c r="J24" s="9" t="s">
        <v>20</v>
      </c>
      <c r="K24" s="9" t="s">
        <v>20</v>
      </c>
      <c r="L24" s="9" t="s">
        <v>20</v>
      </c>
      <c r="M24" s="11" t="s">
        <v>108</v>
      </c>
    </row>
    <row r="25" spans="1:13" ht="60" customHeight="1" x14ac:dyDescent="0.3">
      <c r="A25" s="9">
        <v>23</v>
      </c>
      <c r="B25" s="10" t="s">
        <v>109</v>
      </c>
      <c r="C25" s="11" t="s">
        <v>81</v>
      </c>
      <c r="D25" s="11" t="s">
        <v>110</v>
      </c>
      <c r="E25" s="11" t="s">
        <v>111</v>
      </c>
      <c r="F25" s="9" t="s">
        <v>19</v>
      </c>
      <c r="G25" s="9" t="s">
        <v>32</v>
      </c>
      <c r="H25" s="12">
        <v>28</v>
      </c>
      <c r="I25" s="9" t="s">
        <v>20</v>
      </c>
      <c r="J25" s="9" t="s">
        <v>20</v>
      </c>
      <c r="K25" s="9" t="s">
        <v>20</v>
      </c>
      <c r="L25" s="9" t="s">
        <v>20</v>
      </c>
      <c r="M25" s="11" t="s">
        <v>112</v>
      </c>
    </row>
    <row r="26" spans="1:13" x14ac:dyDescent="0.3">
      <c r="A26" s="2" t="s">
        <v>113</v>
      </c>
      <c r="B26" s="2"/>
      <c r="C26" s="2"/>
      <c r="D26" s="2"/>
      <c r="E26" s="2"/>
      <c r="F26" s="2"/>
      <c r="G26" s="2"/>
      <c r="H26" s="13">
        <f>SUM(H3:H25)</f>
        <v>604</v>
      </c>
      <c r="I26" s="14"/>
      <c r="J26" s="14"/>
      <c r="K26" s="14"/>
      <c r="L26" s="14"/>
      <c r="M26" s="14"/>
    </row>
    <row r="28" spans="1:13" x14ac:dyDescent="0.3">
      <c r="B28" s="15" t="s">
        <v>114</v>
      </c>
      <c r="H28" s="16">
        <f>SUMIF(C3:C25,"Frota corporativa",H3:H25)</f>
        <v>368</v>
      </c>
    </row>
    <row r="29" spans="1:13" x14ac:dyDescent="0.3">
      <c r="B29" s="15" t="s">
        <v>115</v>
      </c>
      <c r="H29" s="16">
        <f>SUMIF(C3:C25,"Aeroportuário / Regulatório",H3:H25)</f>
        <v>236</v>
      </c>
    </row>
    <row r="30" spans="1:13" x14ac:dyDescent="0.3">
      <c r="B30" s="15" t="s">
        <v>116</v>
      </c>
      <c r="H30" s="16">
        <f>COUNTIF(F3:F25,"Crítica")</f>
        <v>8</v>
      </c>
    </row>
    <row r="32" spans="1:13" x14ac:dyDescent="0.3">
      <c r="B32" s="17" t="s">
        <v>117</v>
      </c>
    </row>
    <row r="33" spans="2:2" x14ac:dyDescent="0.3">
      <c r="B33" s="18" t="s">
        <v>118</v>
      </c>
    </row>
    <row r="34" spans="2:2" x14ac:dyDescent="0.3">
      <c r="B34" s="18" t="s">
        <v>119</v>
      </c>
    </row>
    <row r="35" spans="2:2" x14ac:dyDescent="0.3">
      <c r="B35" s="18" t="s">
        <v>120</v>
      </c>
    </row>
    <row r="36" spans="2:2" x14ac:dyDescent="0.3">
      <c r="B36" s="18" t="s">
        <v>121</v>
      </c>
    </row>
    <row r="37" spans="2:2" x14ac:dyDescent="0.3">
      <c r="B37" s="18"/>
    </row>
    <row r="38" spans="2:2" x14ac:dyDescent="0.3">
      <c r="B38" s="17" t="s">
        <v>122</v>
      </c>
    </row>
    <row r="39" spans="2:2" x14ac:dyDescent="0.3">
      <c r="B39" s="18" t="s">
        <v>123</v>
      </c>
    </row>
    <row r="40" spans="2:2" x14ac:dyDescent="0.3">
      <c r="B40" s="18" t="s">
        <v>124</v>
      </c>
    </row>
    <row r="41" spans="2:2" x14ac:dyDescent="0.3">
      <c r="B41" s="18" t="s">
        <v>125</v>
      </c>
    </row>
  </sheetData>
  <autoFilter ref="A2:M25" xr:uid="{00000000-0009-0000-0000-000000000000}"/>
  <mergeCells count="2">
    <mergeCell ref="A1:M1"/>
    <mergeCell ref="A26:G26"/>
  </mergeCells>
  <dataValidations count="2">
    <dataValidation type="list" allowBlank="1" sqref="F3:F25" xr:uid="{00000000-0002-0000-0000-000000000000}">
      <formula1>"Crítica,Alta,Média,Baixa"</formula1>
      <formula2>0</formula2>
    </dataValidation>
    <dataValidation type="list" allowBlank="1" sqref="G3:G25" xr:uid="{00000000-0002-0000-0000-000001000000}">
      <formula1>"Alta,Média,Baixa"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30" customWidth="1"/>
    <col min="2" max="2" width="20" customWidth="1"/>
    <col min="3" max="3" width="95" customWidth="1"/>
    <col min="4" max="4" width="14" customWidth="1"/>
  </cols>
  <sheetData>
    <row r="1" spans="1:4" ht="25.5" customHeight="1" x14ac:dyDescent="0.3">
      <c r="A1" s="1" t="s">
        <v>126</v>
      </c>
      <c r="B1" s="1"/>
      <c r="C1" s="1"/>
      <c r="D1" s="1"/>
    </row>
    <row r="2" spans="1:4" x14ac:dyDescent="0.3">
      <c r="A2" s="4" t="s">
        <v>127</v>
      </c>
      <c r="B2" s="4" t="s">
        <v>128</v>
      </c>
      <c r="C2" s="4" t="s">
        <v>129</v>
      </c>
      <c r="D2" s="4" t="s">
        <v>130</v>
      </c>
    </row>
    <row r="3" spans="1:4" ht="51.75" customHeight="1" x14ac:dyDescent="0.3">
      <c r="A3" s="19" t="s">
        <v>131</v>
      </c>
      <c r="B3" s="20" t="s">
        <v>132</v>
      </c>
      <c r="C3" s="20" t="s">
        <v>133</v>
      </c>
      <c r="D3" s="21"/>
    </row>
    <row r="4" spans="1:4" ht="51.75" customHeight="1" x14ac:dyDescent="0.3">
      <c r="A4" s="19" t="s">
        <v>134</v>
      </c>
      <c r="B4" s="20" t="s">
        <v>135</v>
      </c>
      <c r="C4" s="20" t="s">
        <v>136</v>
      </c>
      <c r="D4" s="21"/>
    </row>
    <row r="5" spans="1:4" ht="51.75" customHeight="1" x14ac:dyDescent="0.3">
      <c r="A5" s="19" t="s">
        <v>137</v>
      </c>
      <c r="B5" s="20" t="s">
        <v>138</v>
      </c>
      <c r="C5" s="20" t="s">
        <v>139</v>
      </c>
      <c r="D5" s="21"/>
    </row>
    <row r="6" spans="1:4" ht="51.75" customHeight="1" x14ac:dyDescent="0.3">
      <c r="A6" s="19" t="s">
        <v>140</v>
      </c>
      <c r="B6" s="20" t="s">
        <v>141</v>
      </c>
      <c r="C6" s="20" t="s">
        <v>142</v>
      </c>
      <c r="D6" s="21"/>
    </row>
    <row r="7" spans="1:4" ht="51.75" customHeight="1" x14ac:dyDescent="0.3">
      <c r="A7" s="19" t="s">
        <v>143</v>
      </c>
      <c r="B7" s="20" t="s">
        <v>144</v>
      </c>
      <c r="C7" s="20" t="s">
        <v>145</v>
      </c>
      <c r="D7" s="21"/>
    </row>
    <row r="8" spans="1:4" ht="51.75" customHeight="1" x14ac:dyDescent="0.3">
      <c r="A8" s="19" t="s">
        <v>146</v>
      </c>
      <c r="B8" s="20" t="s">
        <v>147</v>
      </c>
      <c r="C8" s="20" t="s">
        <v>148</v>
      </c>
      <c r="D8" s="21"/>
    </row>
    <row r="10" spans="1:4" x14ac:dyDescent="0.3">
      <c r="A10" s="22" t="s">
        <v>149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Modulos</vt:lpstr>
      <vt:lpstr>Sequencia sugerida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Gilberto Marques Claudino</cp:lastModifiedBy>
  <cp:revision>0</cp:revision>
  <dcterms:created xsi:type="dcterms:W3CDTF">2026-08-20T12:40:48Z</dcterms:created>
  <dcterms:modified xsi:type="dcterms:W3CDTF">2026-08-20T12:49:34Z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5910b6-60c5-46ad-bb86-335627448cd2_Enabled">
    <vt:lpwstr>true</vt:lpwstr>
  </property>
  <property fmtid="{D5CDD505-2E9C-101B-9397-08002B2CF9AE}" pid="3" name="MSIP_Label_b45910b6-60c5-46ad-bb86-335627448cd2_SetDate">
    <vt:lpwstr>2026-08-20T12:49:26Z</vt:lpwstr>
  </property>
  <property fmtid="{D5CDD505-2E9C-101B-9397-08002B2CF9AE}" pid="4" name="MSIP_Label_b45910b6-60c5-46ad-bb86-335627448cd2_Method">
    <vt:lpwstr>Standard</vt:lpwstr>
  </property>
  <property fmtid="{D5CDD505-2E9C-101B-9397-08002B2CF9AE}" pid="5" name="MSIP_Label_b45910b6-60c5-46ad-bb86-335627448cd2_Name">
    <vt:lpwstr>INTERNA</vt:lpwstr>
  </property>
  <property fmtid="{D5CDD505-2E9C-101B-9397-08002B2CF9AE}" pid="6" name="MSIP_Label_b45910b6-60c5-46ad-bb86-335627448cd2_SiteId">
    <vt:lpwstr>d233d58a-9973-43a7-af69-6763630548a0</vt:lpwstr>
  </property>
  <property fmtid="{D5CDD505-2E9C-101B-9397-08002B2CF9AE}" pid="7" name="MSIP_Label_b45910b6-60c5-46ad-bb86-335627448cd2_ActionId">
    <vt:lpwstr>39afa9e3-d6ee-4020-b2f3-ae3e4aa81494</vt:lpwstr>
  </property>
  <property fmtid="{D5CDD505-2E9C-101B-9397-08002B2CF9AE}" pid="8" name="MSIP_Label_b45910b6-60c5-46ad-bb86-335627448cd2_ContentBits">
    <vt:lpwstr>0</vt:lpwstr>
  </property>
  <property fmtid="{D5CDD505-2E9C-101B-9397-08002B2CF9AE}" pid="9" name="MSIP_Label_b45910b6-60c5-46ad-bb86-335627448cd2_Tag">
    <vt:lpwstr>10, 3, 0, 1</vt:lpwstr>
  </property>
</Properties>
</file>